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y239/Github/False-Seed-Bed-Trial/Data/raw/"/>
    </mc:Choice>
  </mc:AlternateContent>
  <xr:revisionPtr revIDLastSave="0" documentId="13_ncr:1_{F122EAE5-F027-5140-AAF5-2FB1CE947883}" xr6:coauthVersionLast="47" xr6:coauthVersionMax="47" xr10:uidLastSave="{00000000-0000-0000-0000-000000000000}"/>
  <bookViews>
    <workbookView xWindow="17920" yWindow="-28300" windowWidth="34160" windowHeight="27160" xr2:uid="{3C250779-8860-7545-A5ED-1758FA5AC523}"/>
  </bookViews>
  <sheets>
    <sheet name="rye_weed_biomas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3" i="1" l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 Youngerman</author>
  </authors>
  <commentList>
    <comment ref="AZ3" authorId="0" shapeId="0" xr:uid="{8B526EDF-F0FB-2A43-92BF-2CB883711805}">
      <text>
        <r>
          <rPr>
            <b/>
            <sz val="10"/>
            <color rgb="FF000000"/>
            <rFont val="Tahoma"/>
            <family val="2"/>
          </rPr>
          <t>Eric Youngerman: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biomass values of 0.001 indicate the presence of the weed, but too low of a value to weigh.</t>
        </r>
      </text>
    </comment>
  </commentList>
</comments>
</file>

<file path=xl/sharedStrings.xml><?xml version="1.0" encoding="utf-8"?>
<sst xmlns="http://schemas.openxmlformats.org/spreadsheetml/2006/main" count="405" uniqueCount="147">
  <si>
    <t>H</t>
  </si>
  <si>
    <t>year</t>
  </si>
  <si>
    <t>field</t>
  </si>
  <si>
    <t>sample_date</t>
  </si>
  <si>
    <t>plot</t>
  </si>
  <si>
    <t>seeding_rate</t>
  </si>
  <si>
    <t>101_NT_high</t>
  </si>
  <si>
    <t>101_NT_low</t>
  </si>
  <si>
    <t>102_CP_3FC_high</t>
  </si>
  <si>
    <t>102_CP_3FC_low</t>
  </si>
  <si>
    <t>103_CP_4FC_high</t>
  </si>
  <si>
    <t>103_CP_4FC_low</t>
  </si>
  <si>
    <t>104_CP_1FC_high</t>
  </si>
  <si>
    <t>104_CP_1FC_low</t>
  </si>
  <si>
    <t>105_CP_2FC_high</t>
  </si>
  <si>
    <t>105_CP_2FC_low</t>
  </si>
  <si>
    <t>106_NT_high</t>
  </si>
  <si>
    <t>106_NT_low</t>
  </si>
  <si>
    <t>107_MP_3FC_high</t>
  </si>
  <si>
    <t>107_MP_3FC_low</t>
  </si>
  <si>
    <t>108_MP_4FC_high</t>
  </si>
  <si>
    <t>108_MP_4FC_low</t>
  </si>
  <si>
    <t>109_MP_1FC_high</t>
  </si>
  <si>
    <t>109_MP_1FC_low</t>
  </si>
  <si>
    <t>110_MP_2FC_high</t>
  </si>
  <si>
    <t>110_MP_2FC_low</t>
  </si>
  <si>
    <t>111_NT_high</t>
  </si>
  <si>
    <t>111_NT_low</t>
  </si>
  <si>
    <t>201_NT_high</t>
  </si>
  <si>
    <t>201_NT_low</t>
  </si>
  <si>
    <t>202_MP_1FC_high</t>
  </si>
  <si>
    <t>202_MP_1FC_low</t>
  </si>
  <si>
    <t>203_MP_3FC_high</t>
  </si>
  <si>
    <t>203_MP_3FC_low</t>
  </si>
  <si>
    <t>204_MP_2FC_high</t>
  </si>
  <si>
    <t>204_MP_2FC_low</t>
  </si>
  <si>
    <t>205_MP_4FC_high</t>
  </si>
  <si>
    <t>205_MP_4FC_low</t>
  </si>
  <si>
    <t>206_NT_high</t>
  </si>
  <si>
    <t>206_NT_low</t>
  </si>
  <si>
    <t>207_CP_1FC_high</t>
  </si>
  <si>
    <t>207_CP_1FC_low</t>
  </si>
  <si>
    <t>208_CP_3FC_high</t>
  </si>
  <si>
    <t>208_CP_3FC_low</t>
  </si>
  <si>
    <t>209_CP_2FC_high</t>
  </si>
  <si>
    <t>209_CP_2FC_low</t>
  </si>
  <si>
    <t>210_CP_4FC_high</t>
  </si>
  <si>
    <t>210_CP_4FC_low</t>
  </si>
  <si>
    <t>211_NT_high</t>
  </si>
  <si>
    <t>211_NT_low</t>
  </si>
  <si>
    <t>301_NT_high</t>
  </si>
  <si>
    <t>301_NT_low</t>
  </si>
  <si>
    <t>302_CP_4FC_high</t>
  </si>
  <si>
    <t>302_CP_4FC_low</t>
  </si>
  <si>
    <t>303_CP_2FC_high</t>
  </si>
  <si>
    <t>303_CP_2FC_low</t>
  </si>
  <si>
    <t>304_CP_3FC_high</t>
  </si>
  <si>
    <t>304_CP_3FC_low</t>
  </si>
  <si>
    <t>305_CP_1FC_high</t>
  </si>
  <si>
    <t>305_CP_1FC_low</t>
  </si>
  <si>
    <t>306_NT_high</t>
  </si>
  <si>
    <t>306_NT_low</t>
  </si>
  <si>
    <t>307_MP_4FC_high</t>
  </si>
  <si>
    <t>307_MP_4FC_low</t>
  </si>
  <si>
    <t>308_MP_2FC_high</t>
  </si>
  <si>
    <t>308_MP_2FC_low</t>
  </si>
  <si>
    <t>309_MP_3FC_high</t>
  </si>
  <si>
    <t>309_MP_3FC_low</t>
  </si>
  <si>
    <t>310_MP_1FC_high</t>
  </si>
  <si>
    <t>310_MP_1FC_low</t>
  </si>
  <si>
    <t>311_NT_high</t>
  </si>
  <si>
    <t>311_NT_low</t>
  </si>
  <si>
    <t>401_NT_high</t>
  </si>
  <si>
    <t>401_NT_low</t>
  </si>
  <si>
    <t>402_MP_2FC_high</t>
  </si>
  <si>
    <t>402_MP_2FC_low</t>
  </si>
  <si>
    <t>403_MP_1FC_high</t>
  </si>
  <si>
    <t>403_MP_1FC_low</t>
  </si>
  <si>
    <t>404_MP_4FC_high</t>
  </si>
  <si>
    <t>404_MP_4FC_low</t>
  </si>
  <si>
    <t>405_MP_3FC_high</t>
  </si>
  <si>
    <t>405_MP_3FC_low</t>
  </si>
  <si>
    <t>406_NT_high</t>
  </si>
  <si>
    <t>406_NT_low</t>
  </si>
  <si>
    <t>407_CP_2FC_high</t>
  </si>
  <si>
    <t>407_CP_2FC_low</t>
  </si>
  <si>
    <t>408_CP_1FC_high</t>
  </si>
  <si>
    <t>408_CP_1FC_low</t>
  </si>
  <si>
    <t>409_CP_4FC_high</t>
  </si>
  <si>
    <t>409_CP_4FC_low</t>
  </si>
  <si>
    <t>410_CP_3FC_high</t>
  </si>
  <si>
    <t>410_CP_3FC_low</t>
  </si>
  <si>
    <t>411_NT_high</t>
  </si>
  <si>
    <t>411_NT_low</t>
  </si>
  <si>
    <t>number_cultivation_events</t>
  </si>
  <si>
    <t>tillage_type</t>
  </si>
  <si>
    <t>no-tillage</t>
  </si>
  <si>
    <t>chisel plow</t>
  </si>
  <si>
    <t>moldboard plow</t>
  </si>
  <si>
    <t>high</t>
  </si>
  <si>
    <t>low</t>
  </si>
  <si>
    <t>yellow_woodsorrel</t>
  </si>
  <si>
    <t>purslane_speedwell</t>
  </si>
  <si>
    <t>scarlet_pimperel</t>
  </si>
  <si>
    <t>roughstalk_bluegrass</t>
  </si>
  <si>
    <t>canada_goldenrod</t>
  </si>
  <si>
    <t>common_dandelion</t>
  </si>
  <si>
    <t>annual_fleabane</t>
  </si>
  <si>
    <t>yellow_foxtail</t>
  </si>
  <si>
    <t>black_medic</t>
  </si>
  <si>
    <t>hawkweed_oxtongue</t>
  </si>
  <si>
    <t>broadleaf_plantain</t>
  </si>
  <si>
    <t>ladysthumb</t>
  </si>
  <si>
    <t>red_clover</t>
  </si>
  <si>
    <t>hairy_vetch</t>
  </si>
  <si>
    <t>canada_thistle</t>
  </si>
  <si>
    <t>mouse-ear_chickweed</t>
  </si>
  <si>
    <t>giant_foxtail</t>
  </si>
  <si>
    <t>witchgrass</t>
  </si>
  <si>
    <t>common_ragweed</t>
  </si>
  <si>
    <t>common_chickweed</t>
  </si>
  <si>
    <t>yellow_nutsedge</t>
  </si>
  <si>
    <t>slender_rush</t>
  </si>
  <si>
    <t>yellow_cress</t>
  </si>
  <si>
    <t>prostrate_knotweed</t>
  </si>
  <si>
    <t>spiny_sowthistle</t>
  </si>
  <si>
    <t>coltsfoot</t>
  </si>
  <si>
    <t>purple_loosestrife</t>
  </si>
  <si>
    <t>grass_leaved_goldenrod</t>
  </si>
  <si>
    <t>hedge_bindweed</t>
  </si>
  <si>
    <t>persia_speedwell</t>
  </si>
  <si>
    <t>perennial_sowthistle</t>
  </si>
  <si>
    <t>smooth_bedstraw</t>
  </si>
  <si>
    <t>corn _speedwell</t>
  </si>
  <si>
    <t>indian_tobacco</t>
  </si>
  <si>
    <t>philadelphia_fleabane</t>
  </si>
  <si>
    <t>annual_ryegrass</t>
  </si>
  <si>
    <t>kentucky_bluegrass</t>
  </si>
  <si>
    <t>annual_bluegrass</t>
  </si>
  <si>
    <t>common_groundsel</t>
  </si>
  <si>
    <t>wild_buckwheat</t>
  </si>
  <si>
    <t>smooth_goldenrod</t>
  </si>
  <si>
    <t>horseweed</t>
  </si>
  <si>
    <t>shepherd's-purse</t>
  </si>
  <si>
    <t>plot_id</t>
  </si>
  <si>
    <r>
      <t>rye_biomass_g_0.5m</t>
    </r>
    <r>
      <rPr>
        <vertAlign val="superscript"/>
        <sz val="12"/>
        <color theme="1"/>
        <rFont val="Aptos Narrow (Body)"/>
      </rPr>
      <t>2</t>
    </r>
  </si>
  <si>
    <t>total_weed_biomass_g_0.5m2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</si>
</sst>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vertAlign val="superscript"/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1BB24-72C5-2A4B-80CC-D4A582151731}">
  <dimension ref="A1:BA89"/>
  <sheetViews>
    <sheetView tabSelected="1" topLeftCell="AO1" workbookViewId="0">
      <selection activeCell="BA1" sqref="BA1"/>
    </sheetView>
  </sheetViews>
  <sheetFormatPr baseColWidth="10" defaultRowHeight="16" x14ac:dyDescent="0.2"/>
  <cols>
    <col min="1" max="1" width="15.83203125" bestFit="1" customWidth="1"/>
    <col min="3" max="3" width="4.6640625" bestFit="1" customWidth="1"/>
    <col min="4" max="4" width="4.33203125" bestFit="1" customWidth="1"/>
    <col min="5" max="5" width="14" bestFit="1" customWidth="1"/>
    <col min="6" max="6" width="23.33203125" bestFit="1" customWidth="1"/>
    <col min="7" max="8" width="11.5" bestFit="1" customWidth="1"/>
    <col min="9" max="9" width="18.83203125" bestFit="1" customWidth="1"/>
    <col min="10" max="10" width="16.33203125" bestFit="1" customWidth="1"/>
    <col min="11" max="11" width="14.5" bestFit="1" customWidth="1"/>
    <col min="12" max="12" width="17" bestFit="1" customWidth="1"/>
    <col min="13" max="13" width="18.33203125" bestFit="1" customWidth="1"/>
    <col min="14" max="14" width="16" bestFit="1" customWidth="1"/>
    <col min="15" max="15" width="17.1640625" bestFit="1" customWidth="1"/>
    <col min="16" max="16" width="14.5" bestFit="1" customWidth="1"/>
    <col min="17" max="17" width="12.1640625" bestFit="1" customWidth="1"/>
    <col min="18" max="18" width="11.33203125" bestFit="1" customWidth="1"/>
    <col min="19" max="19" width="18" bestFit="1" customWidth="1"/>
    <col min="20" max="20" width="16.5" bestFit="1" customWidth="1"/>
    <col min="25" max="25" width="10.5" bestFit="1" customWidth="1"/>
    <col min="26" max="26" width="11" bestFit="1" customWidth="1"/>
    <col min="27" max="27" width="9.83203125" bestFit="1" customWidth="1"/>
    <col min="31" max="32" width="11.5" bestFit="1" customWidth="1"/>
    <col min="33" max="33" width="17.5" bestFit="1" customWidth="1"/>
    <col min="34" max="34" width="14.5" bestFit="1" customWidth="1"/>
    <col min="35" max="35" width="8.33203125" bestFit="1" customWidth="1"/>
    <col min="36" max="36" width="15.1640625" bestFit="1" customWidth="1"/>
    <col min="37" max="37" width="15.6640625" bestFit="1" customWidth="1"/>
    <col min="38" max="38" width="17.33203125" bestFit="1" customWidth="1"/>
    <col min="39" max="39" width="9.6640625" bestFit="1" customWidth="1"/>
    <col min="40" max="40" width="18.1640625" bestFit="1" customWidth="1"/>
    <col min="41" max="41" width="15.5" bestFit="1" customWidth="1"/>
    <col min="43" max="43" width="13.6640625" bestFit="1" customWidth="1"/>
    <col min="44" max="44" width="19.1640625" bestFit="1" customWidth="1"/>
    <col min="45" max="45" width="16" bestFit="1" customWidth="1"/>
    <col min="46" max="46" width="16.83203125" bestFit="1" customWidth="1"/>
    <col min="47" max="47" width="14.83203125" bestFit="1" customWidth="1"/>
    <col min="48" max="48" width="9.83203125" bestFit="1" customWidth="1"/>
    <col min="49" max="49" width="11.5" bestFit="1" customWidth="1"/>
    <col min="50" max="50" width="12.1640625" bestFit="1" customWidth="1"/>
    <col min="51" max="51" width="14.5" bestFit="1" customWidth="1"/>
    <col min="52" max="52" width="16.33203125" bestFit="1" customWidth="1"/>
    <col min="53" max="53" width="17.83203125" bestFit="1" customWidth="1"/>
  </cols>
  <sheetData>
    <row r="1" spans="1:53" ht="19" x14ac:dyDescent="0.2">
      <c r="A1" t="s">
        <v>144</v>
      </c>
      <c r="B1" t="s">
        <v>1</v>
      </c>
      <c r="C1" t="s">
        <v>2</v>
      </c>
      <c r="D1" t="s">
        <v>4</v>
      </c>
      <c r="E1" t="s">
        <v>95</v>
      </c>
      <c r="F1" t="s">
        <v>94</v>
      </c>
      <c r="G1" t="s">
        <v>5</v>
      </c>
      <c r="H1" t="s">
        <v>3</v>
      </c>
      <c r="I1" t="s">
        <v>145</v>
      </c>
      <c r="J1" t="s">
        <v>138</v>
      </c>
      <c r="K1" t="s">
        <v>107</v>
      </c>
      <c r="L1" t="s">
        <v>136</v>
      </c>
      <c r="M1" t="s">
        <v>109</v>
      </c>
      <c r="N1" t="s">
        <v>111</v>
      </c>
      <c r="O1" t="s">
        <v>105</v>
      </c>
      <c r="P1" t="s">
        <v>115</v>
      </c>
      <c r="Q1" t="s">
        <v>126</v>
      </c>
      <c r="R1" t="s">
        <v>120</v>
      </c>
      <c r="S1" t="s">
        <v>106</v>
      </c>
      <c r="T1" t="s">
        <v>139</v>
      </c>
      <c r="U1" t="s">
        <v>119</v>
      </c>
      <c r="V1" t="s">
        <v>133</v>
      </c>
      <c r="W1" t="s">
        <v>117</v>
      </c>
      <c r="X1" t="s">
        <v>128</v>
      </c>
      <c r="Y1" t="s">
        <v>114</v>
      </c>
      <c r="Z1" t="s">
        <v>110</v>
      </c>
      <c r="AA1" t="s">
        <v>129</v>
      </c>
      <c r="AB1" t="s">
        <v>142</v>
      </c>
      <c r="AC1" t="s">
        <v>134</v>
      </c>
      <c r="AD1" t="s">
        <v>137</v>
      </c>
      <c r="AE1" t="s">
        <v>112</v>
      </c>
      <c r="AF1" t="s">
        <v>116</v>
      </c>
      <c r="AG1" t="s">
        <v>131</v>
      </c>
      <c r="AH1" t="s">
        <v>130</v>
      </c>
      <c r="AI1" t="s">
        <v>135</v>
      </c>
      <c r="AJ1" t="s">
        <v>124</v>
      </c>
      <c r="AK1" t="s">
        <v>127</v>
      </c>
      <c r="AL1" t="s">
        <v>102</v>
      </c>
      <c r="AM1" t="s">
        <v>113</v>
      </c>
      <c r="AN1" t="s">
        <v>104</v>
      </c>
      <c r="AO1" t="s">
        <v>103</v>
      </c>
      <c r="AP1" t="s">
        <v>143</v>
      </c>
      <c r="AQ1" t="s">
        <v>122</v>
      </c>
      <c r="AR1" t="s">
        <v>132</v>
      </c>
      <c r="AS1" t="s">
        <v>141</v>
      </c>
      <c r="AT1" t="s">
        <v>125</v>
      </c>
      <c r="AU1" t="s">
        <v>140</v>
      </c>
      <c r="AV1" t="s">
        <v>118</v>
      </c>
      <c r="AW1" t="s">
        <v>123</v>
      </c>
      <c r="AX1" t="s">
        <v>108</v>
      </c>
      <c r="AY1" t="s">
        <v>121</v>
      </c>
      <c r="AZ1" t="s">
        <v>101</v>
      </c>
      <c r="BA1" t="s">
        <v>146</v>
      </c>
    </row>
    <row r="2" spans="1:53" x14ac:dyDescent="0.2">
      <c r="A2" t="s">
        <v>6</v>
      </c>
      <c r="B2">
        <v>2025</v>
      </c>
      <c r="C2" t="s">
        <v>0</v>
      </c>
      <c r="D2">
        <v>101</v>
      </c>
      <c r="E2" t="s">
        <v>96</v>
      </c>
      <c r="F2">
        <v>0</v>
      </c>
      <c r="G2" t="s">
        <v>99</v>
      </c>
      <c r="H2" s="1">
        <v>45831</v>
      </c>
      <c r="I2">
        <v>93.81</v>
      </c>
      <c r="M2">
        <v>3.7</v>
      </c>
      <c r="N2">
        <v>2.81</v>
      </c>
      <c r="S2">
        <v>1.87</v>
      </c>
      <c r="Z2">
        <v>1E-3</v>
      </c>
      <c r="AX2">
        <v>1E-3</v>
      </c>
      <c r="BA2">
        <f>SUM(J2:AZ2)</f>
        <v>8.3819999999999979</v>
      </c>
    </row>
    <row r="3" spans="1:53" x14ac:dyDescent="0.2">
      <c r="A3" t="s">
        <v>7</v>
      </c>
      <c r="B3">
        <v>2025</v>
      </c>
      <c r="C3" t="s">
        <v>0</v>
      </c>
      <c r="D3">
        <v>101</v>
      </c>
      <c r="E3" t="s">
        <v>96</v>
      </c>
      <c r="F3">
        <v>0</v>
      </c>
      <c r="G3" t="s">
        <v>100</v>
      </c>
      <c r="H3" s="1">
        <v>45831</v>
      </c>
      <c r="I3">
        <v>58.73</v>
      </c>
      <c r="K3">
        <v>1E-3</v>
      </c>
      <c r="L3">
        <v>5.79</v>
      </c>
      <c r="N3">
        <v>1E-3</v>
      </c>
      <c r="S3">
        <v>3.39</v>
      </c>
      <c r="AD3">
        <v>1E-3</v>
      </c>
      <c r="AL3">
        <v>0.53</v>
      </c>
      <c r="AZ3">
        <v>1E-3</v>
      </c>
      <c r="BA3">
        <f t="shared" ref="BA3:BA66" si="0">SUM(J3:AZ3)</f>
        <v>9.7139999999999986</v>
      </c>
    </row>
    <row r="4" spans="1:53" x14ac:dyDescent="0.2">
      <c r="A4" t="s">
        <v>8</v>
      </c>
      <c r="B4">
        <v>2025</v>
      </c>
      <c r="C4" t="s">
        <v>0</v>
      </c>
      <c r="D4">
        <v>102</v>
      </c>
      <c r="E4" t="s">
        <v>97</v>
      </c>
      <c r="F4">
        <v>3</v>
      </c>
      <c r="G4" t="s">
        <v>99</v>
      </c>
      <c r="H4" s="1">
        <v>45831</v>
      </c>
      <c r="I4">
        <v>161.06</v>
      </c>
      <c r="S4">
        <v>2.15</v>
      </c>
      <c r="AX4">
        <v>1E-3</v>
      </c>
      <c r="BA4">
        <f t="shared" si="0"/>
        <v>2.1509999999999998</v>
      </c>
    </row>
    <row r="5" spans="1:53" x14ac:dyDescent="0.2">
      <c r="A5" t="s">
        <v>9</v>
      </c>
      <c r="B5">
        <v>2025</v>
      </c>
      <c r="C5" t="s">
        <v>0</v>
      </c>
      <c r="D5">
        <v>202</v>
      </c>
      <c r="E5" t="s">
        <v>97</v>
      </c>
      <c r="F5">
        <v>3</v>
      </c>
      <c r="G5" t="s">
        <v>100</v>
      </c>
      <c r="H5" s="1">
        <v>45831</v>
      </c>
      <c r="I5">
        <v>152.47999999999999</v>
      </c>
      <c r="S5">
        <v>1E-3</v>
      </c>
      <c r="AH5">
        <v>1E-3</v>
      </c>
      <c r="BA5">
        <f t="shared" si="0"/>
        <v>2E-3</v>
      </c>
    </row>
    <row r="6" spans="1:53" x14ac:dyDescent="0.2">
      <c r="A6" t="s">
        <v>10</v>
      </c>
      <c r="B6">
        <v>2025</v>
      </c>
      <c r="C6" t="s">
        <v>0</v>
      </c>
      <c r="D6">
        <v>103</v>
      </c>
      <c r="E6" t="s">
        <v>97</v>
      </c>
      <c r="F6">
        <v>4</v>
      </c>
      <c r="G6" t="s">
        <v>99</v>
      </c>
      <c r="H6" s="1">
        <v>45831</v>
      </c>
      <c r="I6">
        <v>164.02</v>
      </c>
      <c r="S6">
        <v>0.34</v>
      </c>
      <c r="AA6">
        <v>1E-3</v>
      </c>
      <c r="AZ6">
        <v>1E-3</v>
      </c>
      <c r="BA6">
        <f t="shared" si="0"/>
        <v>0.34200000000000003</v>
      </c>
    </row>
    <row r="7" spans="1:53" x14ac:dyDescent="0.2">
      <c r="A7" t="s">
        <v>11</v>
      </c>
      <c r="B7">
        <v>2025</v>
      </c>
      <c r="C7" t="s">
        <v>0</v>
      </c>
      <c r="D7">
        <v>103</v>
      </c>
      <c r="E7" t="s">
        <v>97</v>
      </c>
      <c r="F7">
        <v>4</v>
      </c>
      <c r="G7" t="s">
        <v>100</v>
      </c>
      <c r="H7" s="1">
        <v>45831</v>
      </c>
      <c r="I7">
        <v>136.07</v>
      </c>
      <c r="M7">
        <v>1E-3</v>
      </c>
      <c r="U7">
        <v>1E-3</v>
      </c>
      <c r="AE7">
        <v>1E-3</v>
      </c>
      <c r="AM7">
        <v>1E-3</v>
      </c>
      <c r="BA7">
        <f t="shared" si="0"/>
        <v>4.0000000000000001E-3</v>
      </c>
    </row>
    <row r="8" spans="1:53" x14ac:dyDescent="0.2">
      <c r="A8" t="s">
        <v>12</v>
      </c>
      <c r="B8">
        <v>2025</v>
      </c>
      <c r="C8" t="s">
        <v>0</v>
      </c>
      <c r="D8">
        <v>104</v>
      </c>
      <c r="E8" t="s">
        <v>97</v>
      </c>
      <c r="F8">
        <v>1</v>
      </c>
      <c r="G8" t="s">
        <v>99</v>
      </c>
      <c r="H8" s="1">
        <v>45831</v>
      </c>
      <c r="I8">
        <v>106.48</v>
      </c>
      <c r="M8">
        <v>1E-3</v>
      </c>
      <c r="W8">
        <v>1E-3</v>
      </c>
      <c r="AE8">
        <v>1E-3</v>
      </c>
      <c r="BA8">
        <f t="shared" si="0"/>
        <v>3.0000000000000001E-3</v>
      </c>
    </row>
    <row r="9" spans="1:53" x14ac:dyDescent="0.2">
      <c r="A9" t="s">
        <v>13</v>
      </c>
      <c r="B9">
        <v>2025</v>
      </c>
      <c r="C9" t="s">
        <v>0</v>
      </c>
      <c r="D9">
        <v>104</v>
      </c>
      <c r="E9" t="s">
        <v>97</v>
      </c>
      <c r="F9">
        <v>1</v>
      </c>
      <c r="G9" t="s">
        <v>100</v>
      </c>
      <c r="H9" s="1">
        <v>45831</v>
      </c>
      <c r="I9">
        <v>59.41</v>
      </c>
      <c r="M9">
        <v>1E-3</v>
      </c>
      <c r="N9">
        <v>1E-3</v>
      </c>
      <c r="S9">
        <v>1.32</v>
      </c>
      <c r="BA9">
        <f t="shared" si="0"/>
        <v>1.3220000000000001</v>
      </c>
    </row>
    <row r="10" spans="1:53" x14ac:dyDescent="0.2">
      <c r="A10" t="s">
        <v>14</v>
      </c>
      <c r="B10">
        <v>2025</v>
      </c>
      <c r="C10" t="s">
        <v>0</v>
      </c>
      <c r="D10">
        <v>105</v>
      </c>
      <c r="E10" t="s">
        <v>97</v>
      </c>
      <c r="F10">
        <v>2</v>
      </c>
      <c r="G10" t="s">
        <v>99</v>
      </c>
      <c r="H10" s="1">
        <v>45831</v>
      </c>
      <c r="I10">
        <v>145.76</v>
      </c>
      <c r="S10">
        <v>1E-3</v>
      </c>
      <c r="W10">
        <v>1E-3</v>
      </c>
      <c r="AZ10">
        <v>1E-3</v>
      </c>
      <c r="BA10">
        <f t="shared" si="0"/>
        <v>3.0000000000000001E-3</v>
      </c>
    </row>
    <row r="11" spans="1:53" x14ac:dyDescent="0.2">
      <c r="A11" t="s">
        <v>15</v>
      </c>
      <c r="B11">
        <v>2025</v>
      </c>
      <c r="C11" t="s">
        <v>0</v>
      </c>
      <c r="D11">
        <v>105</v>
      </c>
      <c r="E11" t="s">
        <v>97</v>
      </c>
      <c r="F11">
        <v>2</v>
      </c>
      <c r="G11" t="s">
        <v>100</v>
      </c>
      <c r="H11" s="1">
        <v>45831</v>
      </c>
      <c r="I11">
        <v>179.41</v>
      </c>
      <c r="R11">
        <v>1E-3</v>
      </c>
      <c r="BA11">
        <f t="shared" si="0"/>
        <v>1E-3</v>
      </c>
    </row>
    <row r="12" spans="1:53" x14ac:dyDescent="0.2">
      <c r="A12" t="s">
        <v>16</v>
      </c>
      <c r="B12">
        <v>2025</v>
      </c>
      <c r="C12" t="s">
        <v>0</v>
      </c>
      <c r="D12">
        <v>106</v>
      </c>
      <c r="E12" t="s">
        <v>96</v>
      </c>
      <c r="F12">
        <v>0</v>
      </c>
      <c r="G12" t="s">
        <v>99</v>
      </c>
      <c r="H12" s="1">
        <v>45831</v>
      </c>
      <c r="I12">
        <v>61.81</v>
      </c>
      <c r="P12">
        <v>5.04</v>
      </c>
      <c r="S12">
        <v>15.67</v>
      </c>
      <c r="Y12">
        <v>0.82</v>
      </c>
      <c r="AF12">
        <v>0.56999999999999995</v>
      </c>
      <c r="AX12">
        <v>1E-3</v>
      </c>
      <c r="AZ12">
        <v>0.65</v>
      </c>
      <c r="BA12">
        <f t="shared" si="0"/>
        <v>22.751000000000001</v>
      </c>
    </row>
    <row r="13" spans="1:53" x14ac:dyDescent="0.2">
      <c r="A13" t="s">
        <v>17</v>
      </c>
      <c r="B13">
        <v>2025</v>
      </c>
      <c r="C13" t="s">
        <v>0</v>
      </c>
      <c r="D13">
        <v>106</v>
      </c>
      <c r="E13" t="s">
        <v>96</v>
      </c>
      <c r="F13">
        <v>0</v>
      </c>
      <c r="G13" t="s">
        <v>100</v>
      </c>
      <c r="H13" s="1">
        <v>45831</v>
      </c>
      <c r="I13">
        <v>50.94</v>
      </c>
      <c r="Q13">
        <v>3.3</v>
      </c>
      <c r="AK13">
        <v>1E-3</v>
      </c>
      <c r="AM13">
        <v>1E-3</v>
      </c>
      <c r="AN13">
        <v>1.35</v>
      </c>
      <c r="AT13">
        <v>3.62</v>
      </c>
      <c r="AX13">
        <v>1E-3</v>
      </c>
      <c r="AZ13">
        <v>1E-3</v>
      </c>
      <c r="BA13">
        <f t="shared" si="0"/>
        <v>8.2739999999999974</v>
      </c>
    </row>
    <row r="14" spans="1:53" x14ac:dyDescent="0.2">
      <c r="A14" t="s">
        <v>18</v>
      </c>
      <c r="B14">
        <v>2025</v>
      </c>
      <c r="C14" t="s">
        <v>0</v>
      </c>
      <c r="D14">
        <v>107</v>
      </c>
      <c r="E14" t="s">
        <v>98</v>
      </c>
      <c r="F14">
        <v>3</v>
      </c>
      <c r="G14" t="s">
        <v>99</v>
      </c>
      <c r="H14" s="1">
        <v>45831</v>
      </c>
      <c r="I14">
        <v>148.27000000000001</v>
      </c>
      <c r="S14">
        <v>1E-3</v>
      </c>
      <c r="AM14">
        <v>1E-3</v>
      </c>
      <c r="BA14">
        <f t="shared" si="0"/>
        <v>2E-3</v>
      </c>
    </row>
    <row r="15" spans="1:53" x14ac:dyDescent="0.2">
      <c r="A15" t="s">
        <v>19</v>
      </c>
      <c r="B15">
        <v>2025</v>
      </c>
      <c r="C15" t="s">
        <v>0</v>
      </c>
      <c r="D15">
        <v>107</v>
      </c>
      <c r="E15" t="s">
        <v>98</v>
      </c>
      <c r="F15">
        <v>3</v>
      </c>
      <c r="G15" t="s">
        <v>100</v>
      </c>
      <c r="H15" s="1">
        <v>45831</v>
      </c>
      <c r="I15">
        <v>137.59</v>
      </c>
      <c r="S15">
        <v>3.42</v>
      </c>
      <c r="BA15">
        <f t="shared" si="0"/>
        <v>3.42</v>
      </c>
    </row>
    <row r="16" spans="1:53" x14ac:dyDescent="0.2">
      <c r="A16" t="s">
        <v>20</v>
      </c>
      <c r="B16">
        <v>2025</v>
      </c>
      <c r="C16" t="s">
        <v>0</v>
      </c>
      <c r="D16">
        <v>108</v>
      </c>
      <c r="E16" t="s">
        <v>98</v>
      </c>
      <c r="F16">
        <v>4</v>
      </c>
      <c r="G16" t="s">
        <v>99</v>
      </c>
      <c r="H16" s="1">
        <v>45831</v>
      </c>
      <c r="I16">
        <v>148.88</v>
      </c>
      <c r="S16">
        <v>0.48</v>
      </c>
      <c r="BA16">
        <f t="shared" si="0"/>
        <v>0.48</v>
      </c>
    </row>
    <row r="17" spans="1:53" x14ac:dyDescent="0.2">
      <c r="A17" t="s">
        <v>21</v>
      </c>
      <c r="B17">
        <v>2025</v>
      </c>
      <c r="C17" t="s">
        <v>0</v>
      </c>
      <c r="D17">
        <v>108</v>
      </c>
      <c r="E17" t="s">
        <v>98</v>
      </c>
      <c r="F17">
        <v>4</v>
      </c>
      <c r="G17" t="s">
        <v>100</v>
      </c>
      <c r="H17" s="1">
        <v>45831</v>
      </c>
      <c r="I17">
        <v>128.94999999999999</v>
      </c>
      <c r="S17">
        <v>0.72</v>
      </c>
      <c r="BA17">
        <f t="shared" si="0"/>
        <v>0.72</v>
      </c>
    </row>
    <row r="18" spans="1:53" x14ac:dyDescent="0.2">
      <c r="A18" t="s">
        <v>22</v>
      </c>
      <c r="B18">
        <v>2025</v>
      </c>
      <c r="C18" t="s">
        <v>0</v>
      </c>
      <c r="D18">
        <v>109</v>
      </c>
      <c r="E18" t="s">
        <v>98</v>
      </c>
      <c r="F18">
        <v>1</v>
      </c>
      <c r="G18" t="s">
        <v>99</v>
      </c>
      <c r="H18" s="1">
        <v>45831</v>
      </c>
      <c r="I18">
        <v>184.45</v>
      </c>
      <c r="S18">
        <v>1.21</v>
      </c>
      <c r="AM18">
        <v>1E-3</v>
      </c>
      <c r="BA18">
        <f t="shared" si="0"/>
        <v>1.2109999999999999</v>
      </c>
    </row>
    <row r="19" spans="1:53" x14ac:dyDescent="0.2">
      <c r="A19" t="s">
        <v>23</v>
      </c>
      <c r="B19">
        <v>2025</v>
      </c>
      <c r="C19" t="s">
        <v>0</v>
      </c>
      <c r="D19">
        <v>109</v>
      </c>
      <c r="E19" t="s">
        <v>98</v>
      </c>
      <c r="F19">
        <v>1</v>
      </c>
      <c r="G19" t="s">
        <v>100</v>
      </c>
      <c r="H19" s="1">
        <v>45831</v>
      </c>
      <c r="I19">
        <v>83.44</v>
      </c>
      <c r="AA19">
        <v>1E-3</v>
      </c>
      <c r="AJ19">
        <v>1E-3</v>
      </c>
      <c r="BA19">
        <f t="shared" si="0"/>
        <v>2E-3</v>
      </c>
    </row>
    <row r="20" spans="1:53" x14ac:dyDescent="0.2">
      <c r="A20" t="s">
        <v>24</v>
      </c>
      <c r="B20">
        <v>2025</v>
      </c>
      <c r="C20" t="s">
        <v>0</v>
      </c>
      <c r="D20">
        <v>110</v>
      </c>
      <c r="E20" t="s">
        <v>98</v>
      </c>
      <c r="F20">
        <v>2</v>
      </c>
      <c r="G20" t="s">
        <v>99</v>
      </c>
      <c r="H20" s="1">
        <v>45831</v>
      </c>
      <c r="I20">
        <v>105.03</v>
      </c>
      <c r="S20">
        <v>1E-3</v>
      </c>
      <c r="BA20">
        <f t="shared" si="0"/>
        <v>1E-3</v>
      </c>
    </row>
    <row r="21" spans="1:53" x14ac:dyDescent="0.2">
      <c r="A21" t="s">
        <v>25</v>
      </c>
      <c r="B21">
        <v>2025</v>
      </c>
      <c r="C21" t="s">
        <v>0</v>
      </c>
      <c r="D21">
        <v>110</v>
      </c>
      <c r="E21" t="s">
        <v>98</v>
      </c>
      <c r="F21">
        <v>2</v>
      </c>
      <c r="G21" t="s">
        <v>100</v>
      </c>
      <c r="H21" s="1">
        <v>45831</v>
      </c>
      <c r="I21">
        <v>71.83</v>
      </c>
      <c r="BA21">
        <f t="shared" si="0"/>
        <v>0</v>
      </c>
    </row>
    <row r="22" spans="1:53" x14ac:dyDescent="0.2">
      <c r="A22" t="s">
        <v>26</v>
      </c>
      <c r="B22">
        <v>2025</v>
      </c>
      <c r="C22" t="s">
        <v>0</v>
      </c>
      <c r="D22">
        <v>111</v>
      </c>
      <c r="E22" t="s">
        <v>96</v>
      </c>
      <c r="F22">
        <v>0</v>
      </c>
      <c r="G22" t="s">
        <v>99</v>
      </c>
      <c r="H22" s="1">
        <v>45831</v>
      </c>
      <c r="I22">
        <v>92.61</v>
      </c>
      <c r="S22">
        <v>2.34</v>
      </c>
      <c r="X22">
        <v>1.29</v>
      </c>
      <c r="AX22">
        <v>1E-3</v>
      </c>
      <c r="BA22">
        <f t="shared" si="0"/>
        <v>3.6309999999999998</v>
      </c>
    </row>
    <row r="23" spans="1:53" x14ac:dyDescent="0.2">
      <c r="A23" t="s">
        <v>27</v>
      </c>
      <c r="B23">
        <v>2025</v>
      </c>
      <c r="C23" t="s">
        <v>0</v>
      </c>
      <c r="D23">
        <v>111</v>
      </c>
      <c r="E23" t="s">
        <v>96</v>
      </c>
      <c r="F23">
        <v>0</v>
      </c>
      <c r="G23" t="s">
        <v>100</v>
      </c>
      <c r="H23" s="1">
        <v>45831</v>
      </c>
      <c r="I23">
        <v>35.450000000000003</v>
      </c>
      <c r="N23">
        <v>3.65</v>
      </c>
      <c r="S23">
        <v>14.68</v>
      </c>
      <c r="AX23">
        <v>1E-3</v>
      </c>
      <c r="AZ23">
        <v>1E-3</v>
      </c>
      <c r="BA23">
        <f t="shared" si="0"/>
        <v>18.332000000000001</v>
      </c>
    </row>
    <row r="24" spans="1:53" x14ac:dyDescent="0.2">
      <c r="A24" t="s">
        <v>28</v>
      </c>
      <c r="B24">
        <v>2025</v>
      </c>
      <c r="C24" t="s">
        <v>0</v>
      </c>
      <c r="D24">
        <v>201</v>
      </c>
      <c r="E24" t="s">
        <v>96</v>
      </c>
      <c r="F24">
        <v>0</v>
      </c>
      <c r="G24" t="s">
        <v>99</v>
      </c>
      <c r="H24" s="1">
        <v>45831</v>
      </c>
      <c r="I24">
        <v>79.22</v>
      </c>
      <c r="K24">
        <v>0.48</v>
      </c>
      <c r="S24">
        <v>1.17</v>
      </c>
      <c r="AH24">
        <v>1E-3</v>
      </c>
      <c r="AZ24">
        <v>1E-3</v>
      </c>
      <c r="BA24">
        <f t="shared" si="0"/>
        <v>1.6519999999999997</v>
      </c>
    </row>
    <row r="25" spans="1:53" x14ac:dyDescent="0.2">
      <c r="A25" t="s">
        <v>29</v>
      </c>
      <c r="B25">
        <v>2025</v>
      </c>
      <c r="C25" t="s">
        <v>0</v>
      </c>
      <c r="D25">
        <v>201</v>
      </c>
      <c r="E25" t="s">
        <v>96</v>
      </c>
      <c r="F25">
        <v>0</v>
      </c>
      <c r="G25" t="s">
        <v>100</v>
      </c>
      <c r="H25" s="1">
        <v>45831</v>
      </c>
      <c r="I25">
        <v>66.8</v>
      </c>
      <c r="K25">
        <v>2.59</v>
      </c>
      <c r="AL25">
        <v>1E-3</v>
      </c>
      <c r="AM25">
        <v>10.98</v>
      </c>
      <c r="AP25">
        <v>1.59</v>
      </c>
      <c r="AX25">
        <v>1E-3</v>
      </c>
      <c r="AZ25">
        <v>0.53</v>
      </c>
      <c r="BA25">
        <f t="shared" si="0"/>
        <v>15.691999999999998</v>
      </c>
    </row>
    <row r="26" spans="1:53" x14ac:dyDescent="0.2">
      <c r="A26" t="s">
        <v>30</v>
      </c>
      <c r="B26">
        <v>2025</v>
      </c>
      <c r="C26" t="s">
        <v>0</v>
      </c>
      <c r="D26">
        <v>202</v>
      </c>
      <c r="E26" t="s">
        <v>98</v>
      </c>
      <c r="F26">
        <v>1</v>
      </c>
      <c r="G26" t="s">
        <v>99</v>
      </c>
      <c r="H26" s="1">
        <v>45831</v>
      </c>
      <c r="I26">
        <v>96.47</v>
      </c>
      <c r="AU26">
        <v>1E-3</v>
      </c>
      <c r="AZ26">
        <v>1E-3</v>
      </c>
      <c r="BA26">
        <f t="shared" si="0"/>
        <v>2E-3</v>
      </c>
    </row>
    <row r="27" spans="1:53" x14ac:dyDescent="0.2">
      <c r="A27" t="s">
        <v>31</v>
      </c>
      <c r="B27">
        <v>2025</v>
      </c>
      <c r="C27" t="s">
        <v>0</v>
      </c>
      <c r="D27">
        <v>202</v>
      </c>
      <c r="E27" t="s">
        <v>98</v>
      </c>
      <c r="F27">
        <v>1</v>
      </c>
      <c r="G27" t="s">
        <v>100</v>
      </c>
      <c r="H27" s="1">
        <v>45831</v>
      </c>
      <c r="I27">
        <v>115.12</v>
      </c>
      <c r="AM27">
        <v>1E-3</v>
      </c>
      <c r="AZ27">
        <v>1E-3</v>
      </c>
      <c r="BA27">
        <f t="shared" si="0"/>
        <v>2E-3</v>
      </c>
    </row>
    <row r="28" spans="1:53" x14ac:dyDescent="0.2">
      <c r="A28" t="s">
        <v>32</v>
      </c>
      <c r="B28">
        <v>2025</v>
      </c>
      <c r="C28" t="s">
        <v>0</v>
      </c>
      <c r="D28">
        <v>203</v>
      </c>
      <c r="E28" t="s">
        <v>98</v>
      </c>
      <c r="F28">
        <v>3</v>
      </c>
      <c r="G28" t="s">
        <v>99</v>
      </c>
      <c r="H28" s="1">
        <v>45831</v>
      </c>
      <c r="I28">
        <v>95.75</v>
      </c>
      <c r="U28">
        <v>1E-3</v>
      </c>
      <c r="AE28">
        <v>1E-3</v>
      </c>
      <c r="AX28">
        <v>1E-3</v>
      </c>
      <c r="BA28">
        <f t="shared" si="0"/>
        <v>3.0000000000000001E-3</v>
      </c>
    </row>
    <row r="29" spans="1:53" x14ac:dyDescent="0.2">
      <c r="A29" t="s">
        <v>33</v>
      </c>
      <c r="B29">
        <v>2025</v>
      </c>
      <c r="C29" t="s">
        <v>0</v>
      </c>
      <c r="D29">
        <v>203</v>
      </c>
      <c r="E29" t="s">
        <v>98</v>
      </c>
      <c r="F29">
        <v>3</v>
      </c>
      <c r="G29" t="s">
        <v>100</v>
      </c>
      <c r="H29" s="1">
        <v>45831</v>
      </c>
      <c r="I29">
        <v>100.05</v>
      </c>
      <c r="AM29">
        <v>1E-3</v>
      </c>
      <c r="BA29">
        <f t="shared" si="0"/>
        <v>1E-3</v>
      </c>
    </row>
    <row r="30" spans="1:53" x14ac:dyDescent="0.2">
      <c r="A30" t="s">
        <v>34</v>
      </c>
      <c r="B30">
        <v>2025</v>
      </c>
      <c r="C30" t="s">
        <v>0</v>
      </c>
      <c r="D30">
        <v>204</v>
      </c>
      <c r="E30" t="s">
        <v>98</v>
      </c>
      <c r="F30">
        <v>2</v>
      </c>
      <c r="G30" t="s">
        <v>99</v>
      </c>
      <c r="H30" s="1">
        <v>45831</v>
      </c>
      <c r="I30">
        <v>102.82</v>
      </c>
      <c r="S30">
        <v>2.11</v>
      </c>
      <c r="AX30">
        <v>1E-3</v>
      </c>
      <c r="AZ30">
        <v>1E-3</v>
      </c>
      <c r="BA30">
        <f t="shared" si="0"/>
        <v>2.1119999999999997</v>
      </c>
    </row>
    <row r="31" spans="1:53" x14ac:dyDescent="0.2">
      <c r="A31" t="s">
        <v>35</v>
      </c>
      <c r="B31">
        <v>2025</v>
      </c>
      <c r="C31" t="s">
        <v>0</v>
      </c>
      <c r="D31">
        <v>204</v>
      </c>
      <c r="E31" t="s">
        <v>98</v>
      </c>
      <c r="F31">
        <v>2</v>
      </c>
      <c r="G31" t="s">
        <v>100</v>
      </c>
      <c r="H31" s="1">
        <v>45831</v>
      </c>
      <c r="I31">
        <v>88.58</v>
      </c>
      <c r="U31">
        <v>1E-3</v>
      </c>
      <c r="AJ31">
        <v>1E-3</v>
      </c>
      <c r="AM31">
        <v>1E-3</v>
      </c>
      <c r="BA31">
        <f t="shared" si="0"/>
        <v>3.0000000000000001E-3</v>
      </c>
    </row>
    <row r="32" spans="1:53" x14ac:dyDescent="0.2">
      <c r="A32" t="s">
        <v>36</v>
      </c>
      <c r="B32">
        <v>2025</v>
      </c>
      <c r="C32" t="s">
        <v>0</v>
      </c>
      <c r="D32">
        <v>205</v>
      </c>
      <c r="E32" t="s">
        <v>98</v>
      </c>
      <c r="F32">
        <v>4</v>
      </c>
      <c r="G32" t="s">
        <v>99</v>
      </c>
      <c r="H32" s="1">
        <v>45831</v>
      </c>
      <c r="I32">
        <v>105.62</v>
      </c>
      <c r="U32">
        <v>1E-3</v>
      </c>
      <c r="AJ32">
        <v>1E-3</v>
      </c>
      <c r="AM32">
        <v>1E-3</v>
      </c>
      <c r="BA32">
        <f t="shared" si="0"/>
        <v>3.0000000000000001E-3</v>
      </c>
    </row>
    <row r="33" spans="1:53" x14ac:dyDescent="0.2">
      <c r="A33" t="s">
        <v>37</v>
      </c>
      <c r="B33">
        <v>2025</v>
      </c>
      <c r="C33" t="s">
        <v>0</v>
      </c>
      <c r="D33">
        <v>205</v>
      </c>
      <c r="E33" t="s">
        <v>98</v>
      </c>
      <c r="F33">
        <v>4</v>
      </c>
      <c r="G33" t="s">
        <v>100</v>
      </c>
      <c r="H33" s="1">
        <v>45831</v>
      </c>
      <c r="I33">
        <v>121.39</v>
      </c>
      <c r="AU33">
        <v>1E-3</v>
      </c>
      <c r="BA33">
        <f t="shared" si="0"/>
        <v>1E-3</v>
      </c>
    </row>
    <row r="34" spans="1:53" x14ac:dyDescent="0.2">
      <c r="A34" t="s">
        <v>38</v>
      </c>
      <c r="B34">
        <v>2025</v>
      </c>
      <c r="C34" t="s">
        <v>0</v>
      </c>
      <c r="D34">
        <v>206</v>
      </c>
      <c r="E34" t="s">
        <v>96</v>
      </c>
      <c r="F34">
        <v>0</v>
      </c>
      <c r="G34" t="s">
        <v>99</v>
      </c>
      <c r="H34" s="1">
        <v>45831</v>
      </c>
      <c r="I34">
        <v>66.88</v>
      </c>
      <c r="N34">
        <v>0.81</v>
      </c>
      <c r="BA34">
        <f t="shared" si="0"/>
        <v>0.81</v>
      </c>
    </row>
    <row r="35" spans="1:53" x14ac:dyDescent="0.2">
      <c r="A35" t="s">
        <v>39</v>
      </c>
      <c r="B35">
        <v>2025</v>
      </c>
      <c r="C35" t="s">
        <v>0</v>
      </c>
      <c r="D35">
        <v>206</v>
      </c>
      <c r="E35" t="s">
        <v>96</v>
      </c>
      <c r="F35">
        <v>0</v>
      </c>
      <c r="G35" t="s">
        <v>100</v>
      </c>
      <c r="H35" s="1">
        <v>45831</v>
      </c>
      <c r="I35">
        <v>28.29</v>
      </c>
      <c r="N35">
        <v>1E-3</v>
      </c>
      <c r="S35">
        <v>2.4700000000000002</v>
      </c>
      <c r="AC35">
        <v>1.71</v>
      </c>
      <c r="AI35">
        <v>1E-3</v>
      </c>
      <c r="AL35">
        <v>0.64</v>
      </c>
      <c r="AN35">
        <v>1.26</v>
      </c>
      <c r="AZ35">
        <v>1E-3</v>
      </c>
      <c r="BA35">
        <f t="shared" si="0"/>
        <v>6.0830000000000002</v>
      </c>
    </row>
    <row r="36" spans="1:53" x14ac:dyDescent="0.2">
      <c r="A36" t="s">
        <v>40</v>
      </c>
      <c r="B36">
        <v>2025</v>
      </c>
      <c r="C36" t="s">
        <v>0</v>
      </c>
      <c r="D36">
        <v>207</v>
      </c>
      <c r="E36" t="s">
        <v>97</v>
      </c>
      <c r="F36">
        <v>1</v>
      </c>
      <c r="G36" t="s">
        <v>99</v>
      </c>
      <c r="H36" s="1">
        <v>45831</v>
      </c>
      <c r="I36">
        <v>97.85</v>
      </c>
      <c r="N36">
        <v>1E-3</v>
      </c>
      <c r="U36">
        <v>1E-3</v>
      </c>
      <c r="AJ36">
        <v>1E-3</v>
      </c>
      <c r="AY36">
        <v>1E-3</v>
      </c>
      <c r="BA36">
        <f t="shared" si="0"/>
        <v>4.0000000000000001E-3</v>
      </c>
    </row>
    <row r="37" spans="1:53" x14ac:dyDescent="0.2">
      <c r="A37" t="s">
        <v>41</v>
      </c>
      <c r="B37">
        <v>2025</v>
      </c>
      <c r="C37" t="s">
        <v>0</v>
      </c>
      <c r="D37">
        <v>207</v>
      </c>
      <c r="E37" t="s">
        <v>97</v>
      </c>
      <c r="F37">
        <v>1</v>
      </c>
      <c r="G37" t="s">
        <v>100</v>
      </c>
      <c r="H37" s="1">
        <v>45831</v>
      </c>
      <c r="I37">
        <v>99.49</v>
      </c>
      <c r="U37">
        <v>1E-3</v>
      </c>
      <c r="BA37">
        <f t="shared" si="0"/>
        <v>1E-3</v>
      </c>
    </row>
    <row r="38" spans="1:53" x14ac:dyDescent="0.2">
      <c r="A38" t="s">
        <v>42</v>
      </c>
      <c r="B38">
        <v>2025</v>
      </c>
      <c r="C38" t="s">
        <v>0</v>
      </c>
      <c r="D38">
        <v>208</v>
      </c>
      <c r="E38" t="s">
        <v>97</v>
      </c>
      <c r="F38">
        <v>3</v>
      </c>
      <c r="G38" t="s">
        <v>99</v>
      </c>
      <c r="H38" s="1">
        <v>45831</v>
      </c>
      <c r="I38">
        <v>126.81</v>
      </c>
      <c r="U38">
        <v>1E-3</v>
      </c>
      <c r="BA38">
        <f t="shared" si="0"/>
        <v>1E-3</v>
      </c>
    </row>
    <row r="39" spans="1:53" x14ac:dyDescent="0.2">
      <c r="A39" t="s">
        <v>43</v>
      </c>
      <c r="B39">
        <v>2025</v>
      </c>
      <c r="C39" t="s">
        <v>0</v>
      </c>
      <c r="D39">
        <v>208</v>
      </c>
      <c r="E39" t="s">
        <v>97</v>
      </c>
      <c r="F39">
        <v>3</v>
      </c>
      <c r="G39" t="s">
        <v>100</v>
      </c>
      <c r="H39" s="1">
        <v>45831</v>
      </c>
      <c r="I39">
        <v>76.58</v>
      </c>
      <c r="M39">
        <v>1E-3</v>
      </c>
      <c r="AE39">
        <v>0.56000000000000005</v>
      </c>
      <c r="BA39">
        <f t="shared" si="0"/>
        <v>0.56100000000000005</v>
      </c>
    </row>
    <row r="40" spans="1:53" x14ac:dyDescent="0.2">
      <c r="A40" t="s">
        <v>44</v>
      </c>
      <c r="B40">
        <v>2025</v>
      </c>
      <c r="C40" t="s">
        <v>0</v>
      </c>
      <c r="D40">
        <v>209</v>
      </c>
      <c r="E40" t="s">
        <v>97</v>
      </c>
      <c r="F40">
        <v>2</v>
      </c>
      <c r="G40" t="s">
        <v>99</v>
      </c>
      <c r="H40" s="1">
        <v>45831</v>
      </c>
      <c r="I40">
        <v>134.21</v>
      </c>
      <c r="AZ40">
        <v>1E-3</v>
      </c>
      <c r="BA40">
        <f t="shared" si="0"/>
        <v>1E-3</v>
      </c>
    </row>
    <row r="41" spans="1:53" x14ac:dyDescent="0.2">
      <c r="A41" t="s">
        <v>45</v>
      </c>
      <c r="B41">
        <v>2025</v>
      </c>
      <c r="C41" t="s">
        <v>0</v>
      </c>
      <c r="D41">
        <v>209</v>
      </c>
      <c r="E41" t="s">
        <v>97</v>
      </c>
      <c r="F41">
        <v>2</v>
      </c>
      <c r="G41" t="s">
        <v>100</v>
      </c>
      <c r="H41" s="1">
        <v>45831</v>
      </c>
      <c r="I41">
        <v>130.53</v>
      </c>
      <c r="U41">
        <v>1E-3</v>
      </c>
      <c r="AJ41">
        <v>1E-3</v>
      </c>
      <c r="AX41">
        <v>1E-3</v>
      </c>
      <c r="BA41">
        <f t="shared" si="0"/>
        <v>3.0000000000000001E-3</v>
      </c>
    </row>
    <row r="42" spans="1:53" x14ac:dyDescent="0.2">
      <c r="A42" t="s">
        <v>46</v>
      </c>
      <c r="B42">
        <v>2025</v>
      </c>
      <c r="C42" t="s">
        <v>0</v>
      </c>
      <c r="D42">
        <v>210</v>
      </c>
      <c r="E42" t="s">
        <v>97</v>
      </c>
      <c r="F42">
        <v>4</v>
      </c>
      <c r="G42" t="s">
        <v>99</v>
      </c>
      <c r="H42" s="1">
        <v>45831</v>
      </c>
      <c r="I42">
        <v>129.36000000000001</v>
      </c>
      <c r="S42">
        <v>0.46</v>
      </c>
      <c r="U42">
        <v>1E-3</v>
      </c>
      <c r="AJ42">
        <v>1E-3</v>
      </c>
      <c r="AX42">
        <v>1E-3</v>
      </c>
      <c r="BA42">
        <f t="shared" si="0"/>
        <v>0.46300000000000002</v>
      </c>
    </row>
    <row r="43" spans="1:53" x14ac:dyDescent="0.2">
      <c r="A43" t="s">
        <v>47</v>
      </c>
      <c r="B43">
        <v>2025</v>
      </c>
      <c r="C43" t="s">
        <v>0</v>
      </c>
      <c r="D43">
        <v>210</v>
      </c>
      <c r="E43" t="s">
        <v>97</v>
      </c>
      <c r="F43">
        <v>4</v>
      </c>
      <c r="G43" t="s">
        <v>100</v>
      </c>
      <c r="H43" s="1">
        <v>45831</v>
      </c>
      <c r="I43">
        <v>98.15</v>
      </c>
      <c r="AX43">
        <v>1E-3</v>
      </c>
      <c r="BA43">
        <f t="shared" si="0"/>
        <v>1E-3</v>
      </c>
    </row>
    <row r="44" spans="1:53" x14ac:dyDescent="0.2">
      <c r="A44" t="s">
        <v>48</v>
      </c>
      <c r="B44">
        <v>2025</v>
      </c>
      <c r="C44" t="s">
        <v>0</v>
      </c>
      <c r="D44">
        <v>211</v>
      </c>
      <c r="E44" t="s">
        <v>96</v>
      </c>
      <c r="F44">
        <v>0</v>
      </c>
      <c r="G44" t="s">
        <v>99</v>
      </c>
      <c r="H44" s="1">
        <v>45831</v>
      </c>
      <c r="I44">
        <v>56.2</v>
      </c>
      <c r="S44">
        <v>4.17</v>
      </c>
      <c r="AM44">
        <v>17.73</v>
      </c>
      <c r="BA44">
        <f t="shared" si="0"/>
        <v>21.9</v>
      </c>
    </row>
    <row r="45" spans="1:53" x14ac:dyDescent="0.2">
      <c r="A45" t="s">
        <v>49</v>
      </c>
      <c r="B45">
        <v>2025</v>
      </c>
      <c r="C45" t="s">
        <v>0</v>
      </c>
      <c r="D45">
        <v>211</v>
      </c>
      <c r="E45" t="s">
        <v>96</v>
      </c>
      <c r="F45">
        <v>0</v>
      </c>
      <c r="G45" t="s">
        <v>100</v>
      </c>
      <c r="H45" s="1">
        <v>45831</v>
      </c>
      <c r="I45">
        <v>57.55</v>
      </c>
      <c r="J45">
        <v>1.04</v>
      </c>
      <c r="AG45">
        <v>1.1200000000000001</v>
      </c>
      <c r="AX45">
        <v>0.56000000000000005</v>
      </c>
      <c r="AZ45">
        <v>0.67</v>
      </c>
      <c r="BA45">
        <f t="shared" si="0"/>
        <v>3.39</v>
      </c>
    </row>
    <row r="46" spans="1:53" x14ac:dyDescent="0.2">
      <c r="A46" t="s">
        <v>50</v>
      </c>
      <c r="B46">
        <v>2025</v>
      </c>
      <c r="C46" t="s">
        <v>0</v>
      </c>
      <c r="D46">
        <v>301</v>
      </c>
      <c r="E46" t="s">
        <v>96</v>
      </c>
      <c r="F46">
        <v>0</v>
      </c>
      <c r="G46" t="s">
        <v>99</v>
      </c>
      <c r="H46" s="1">
        <v>45831</v>
      </c>
      <c r="I46">
        <v>77.760000000000005</v>
      </c>
      <c r="K46">
        <v>1E-3</v>
      </c>
      <c r="S46">
        <v>0.3</v>
      </c>
      <c r="AL46">
        <v>0.49</v>
      </c>
      <c r="AO46">
        <v>1E-3</v>
      </c>
      <c r="AZ46">
        <v>1E-3</v>
      </c>
      <c r="BA46">
        <f t="shared" si="0"/>
        <v>0.79299999999999993</v>
      </c>
    </row>
    <row r="47" spans="1:53" x14ac:dyDescent="0.2">
      <c r="A47" t="s">
        <v>51</v>
      </c>
      <c r="B47">
        <v>2025</v>
      </c>
      <c r="C47" t="s">
        <v>0</v>
      </c>
      <c r="D47">
        <v>301</v>
      </c>
      <c r="E47" t="s">
        <v>96</v>
      </c>
      <c r="F47">
        <v>0</v>
      </c>
      <c r="G47" t="s">
        <v>100</v>
      </c>
      <c r="H47" s="1">
        <v>45831</v>
      </c>
      <c r="I47">
        <v>70.86</v>
      </c>
      <c r="K47">
        <v>1E-3</v>
      </c>
      <c r="N47">
        <v>1.1499999999999999</v>
      </c>
      <c r="AL47">
        <v>1E-3</v>
      </c>
      <c r="AR47">
        <v>1.95</v>
      </c>
      <c r="AX47">
        <v>0.83</v>
      </c>
      <c r="AZ47">
        <v>0.3</v>
      </c>
      <c r="BA47">
        <f t="shared" si="0"/>
        <v>4.2319999999999993</v>
      </c>
    </row>
    <row r="48" spans="1:53" x14ac:dyDescent="0.2">
      <c r="A48" t="s">
        <v>52</v>
      </c>
      <c r="B48">
        <v>2025</v>
      </c>
      <c r="C48" t="s">
        <v>0</v>
      </c>
      <c r="D48">
        <v>302</v>
      </c>
      <c r="E48" t="s">
        <v>97</v>
      </c>
      <c r="F48">
        <v>4</v>
      </c>
      <c r="G48" t="s">
        <v>99</v>
      </c>
      <c r="H48" s="1">
        <v>45831</v>
      </c>
      <c r="I48">
        <v>145.65</v>
      </c>
      <c r="AX48">
        <v>1E-3</v>
      </c>
      <c r="BA48">
        <f t="shared" si="0"/>
        <v>1E-3</v>
      </c>
    </row>
    <row r="49" spans="1:53" x14ac:dyDescent="0.2">
      <c r="A49" t="s">
        <v>53</v>
      </c>
      <c r="B49">
        <v>2025</v>
      </c>
      <c r="C49" t="s">
        <v>0</v>
      </c>
      <c r="D49">
        <v>302</v>
      </c>
      <c r="E49" t="s">
        <v>97</v>
      </c>
      <c r="F49">
        <v>4</v>
      </c>
      <c r="G49" t="s">
        <v>100</v>
      </c>
      <c r="H49" s="1">
        <v>45831</v>
      </c>
      <c r="I49">
        <v>153.69</v>
      </c>
      <c r="AM49">
        <v>1E-3</v>
      </c>
      <c r="AX49">
        <v>1E-3</v>
      </c>
      <c r="BA49">
        <f t="shared" si="0"/>
        <v>2E-3</v>
      </c>
    </row>
    <row r="50" spans="1:53" x14ac:dyDescent="0.2">
      <c r="A50" t="s">
        <v>54</v>
      </c>
      <c r="B50">
        <v>2025</v>
      </c>
      <c r="C50" t="s">
        <v>0</v>
      </c>
      <c r="D50">
        <v>303</v>
      </c>
      <c r="E50" t="s">
        <v>97</v>
      </c>
      <c r="F50">
        <v>2</v>
      </c>
      <c r="G50" t="s">
        <v>99</v>
      </c>
      <c r="H50" s="1">
        <v>45831</v>
      </c>
      <c r="I50">
        <v>108.99</v>
      </c>
      <c r="AZ50">
        <v>1E-3</v>
      </c>
      <c r="BA50">
        <f t="shared" si="0"/>
        <v>1E-3</v>
      </c>
    </row>
    <row r="51" spans="1:53" x14ac:dyDescent="0.2">
      <c r="A51" t="s">
        <v>55</v>
      </c>
      <c r="B51">
        <v>2025</v>
      </c>
      <c r="C51" t="s">
        <v>0</v>
      </c>
      <c r="D51">
        <v>303</v>
      </c>
      <c r="E51" t="s">
        <v>97</v>
      </c>
      <c r="F51">
        <v>2</v>
      </c>
      <c r="G51" t="s">
        <v>100</v>
      </c>
      <c r="H51" s="1">
        <v>45831</v>
      </c>
      <c r="I51">
        <v>100.38</v>
      </c>
      <c r="U51">
        <v>1E-3</v>
      </c>
      <c r="AL51">
        <v>1E-3</v>
      </c>
      <c r="AV51">
        <v>1E-3</v>
      </c>
      <c r="AX51">
        <v>1E-3</v>
      </c>
      <c r="AZ51">
        <v>1E-3</v>
      </c>
      <c r="BA51">
        <f t="shared" si="0"/>
        <v>5.0000000000000001E-3</v>
      </c>
    </row>
    <row r="52" spans="1:53" x14ac:dyDescent="0.2">
      <c r="A52" t="s">
        <v>56</v>
      </c>
      <c r="B52">
        <v>2025</v>
      </c>
      <c r="C52" t="s">
        <v>0</v>
      </c>
      <c r="D52">
        <v>304</v>
      </c>
      <c r="E52" t="s">
        <v>97</v>
      </c>
      <c r="F52">
        <v>3</v>
      </c>
      <c r="G52" t="s">
        <v>99</v>
      </c>
      <c r="H52" s="1">
        <v>45831</v>
      </c>
      <c r="I52">
        <v>147.63</v>
      </c>
      <c r="AZ52">
        <v>1E-3</v>
      </c>
      <c r="BA52">
        <f t="shared" si="0"/>
        <v>1E-3</v>
      </c>
    </row>
    <row r="53" spans="1:53" x14ac:dyDescent="0.2">
      <c r="A53" t="s">
        <v>57</v>
      </c>
      <c r="B53">
        <v>2025</v>
      </c>
      <c r="C53" t="s">
        <v>0</v>
      </c>
      <c r="D53">
        <v>304</v>
      </c>
      <c r="E53" t="s">
        <v>97</v>
      </c>
      <c r="F53">
        <v>3</v>
      </c>
      <c r="G53" t="s">
        <v>100</v>
      </c>
      <c r="H53" s="1">
        <v>45831</v>
      </c>
      <c r="I53">
        <v>129.66</v>
      </c>
      <c r="AG53">
        <v>1E-3</v>
      </c>
      <c r="AM53">
        <v>1E-3</v>
      </c>
      <c r="BA53">
        <f t="shared" si="0"/>
        <v>2E-3</v>
      </c>
    </row>
    <row r="54" spans="1:53" x14ac:dyDescent="0.2">
      <c r="A54" t="s">
        <v>58</v>
      </c>
      <c r="B54">
        <v>2025</v>
      </c>
      <c r="C54" t="s">
        <v>0</v>
      </c>
      <c r="D54">
        <v>305</v>
      </c>
      <c r="E54" t="s">
        <v>97</v>
      </c>
      <c r="F54">
        <v>1</v>
      </c>
      <c r="G54" t="s">
        <v>99</v>
      </c>
      <c r="H54" s="1">
        <v>45831</v>
      </c>
      <c r="I54">
        <v>104.42</v>
      </c>
      <c r="R54">
        <v>1E-3</v>
      </c>
      <c r="S54">
        <v>1.01</v>
      </c>
      <c r="AE54">
        <v>1E-3</v>
      </c>
      <c r="AL54">
        <v>1E-3</v>
      </c>
      <c r="BA54">
        <f t="shared" si="0"/>
        <v>1.0129999999999997</v>
      </c>
    </row>
    <row r="55" spans="1:53" x14ac:dyDescent="0.2">
      <c r="A55" t="s">
        <v>59</v>
      </c>
      <c r="B55">
        <v>2025</v>
      </c>
      <c r="C55" t="s">
        <v>0</v>
      </c>
      <c r="D55">
        <v>305</v>
      </c>
      <c r="E55" t="s">
        <v>97</v>
      </c>
      <c r="F55">
        <v>1</v>
      </c>
      <c r="G55" t="s">
        <v>100</v>
      </c>
      <c r="H55" s="1">
        <v>45831</v>
      </c>
      <c r="I55">
        <v>119.1</v>
      </c>
      <c r="AE55">
        <v>1E-3</v>
      </c>
      <c r="AX55">
        <v>1E-3</v>
      </c>
      <c r="AZ55">
        <v>1E-3</v>
      </c>
      <c r="BA55">
        <f t="shared" si="0"/>
        <v>3.0000000000000001E-3</v>
      </c>
    </row>
    <row r="56" spans="1:53" x14ac:dyDescent="0.2">
      <c r="A56" t="s">
        <v>60</v>
      </c>
      <c r="B56">
        <v>2025</v>
      </c>
      <c r="C56" t="s">
        <v>0</v>
      </c>
      <c r="D56">
        <v>306</v>
      </c>
      <c r="E56" t="s">
        <v>96</v>
      </c>
      <c r="F56">
        <v>0</v>
      </c>
      <c r="G56" t="s">
        <v>99</v>
      </c>
      <c r="H56" s="1">
        <v>45831</v>
      </c>
      <c r="I56">
        <v>55.67</v>
      </c>
      <c r="S56">
        <v>1.48</v>
      </c>
      <c r="AB56">
        <v>1E-3</v>
      </c>
      <c r="AL56">
        <v>0.93</v>
      </c>
      <c r="AM56">
        <v>1E-3</v>
      </c>
      <c r="AN56">
        <v>1E-3</v>
      </c>
      <c r="AZ56">
        <v>0.37</v>
      </c>
      <c r="BA56">
        <f t="shared" si="0"/>
        <v>2.7829999999999999</v>
      </c>
    </row>
    <row r="57" spans="1:53" x14ac:dyDescent="0.2">
      <c r="A57" t="s">
        <v>61</v>
      </c>
      <c r="B57">
        <v>2025</v>
      </c>
      <c r="C57" t="s">
        <v>0</v>
      </c>
      <c r="D57">
        <v>306</v>
      </c>
      <c r="E57" t="s">
        <v>96</v>
      </c>
      <c r="F57">
        <v>0</v>
      </c>
      <c r="G57" t="s">
        <v>100</v>
      </c>
      <c r="H57" s="1">
        <v>45831</v>
      </c>
      <c r="I57">
        <v>43.53</v>
      </c>
      <c r="K57">
        <v>2.2400000000000002</v>
      </c>
      <c r="N57">
        <v>3.83</v>
      </c>
      <c r="S57">
        <v>0.81</v>
      </c>
      <c r="AL57">
        <v>0.81</v>
      </c>
      <c r="AZ57">
        <v>0.41</v>
      </c>
      <c r="BA57">
        <f t="shared" si="0"/>
        <v>8.1000000000000014</v>
      </c>
    </row>
    <row r="58" spans="1:53" x14ac:dyDescent="0.2">
      <c r="A58" t="s">
        <v>62</v>
      </c>
      <c r="B58">
        <v>2025</v>
      </c>
      <c r="C58" t="s">
        <v>0</v>
      </c>
      <c r="D58">
        <v>307</v>
      </c>
      <c r="E58" t="s">
        <v>98</v>
      </c>
      <c r="F58">
        <v>4</v>
      </c>
      <c r="G58" t="s">
        <v>99</v>
      </c>
      <c r="H58" s="1">
        <v>45831</v>
      </c>
      <c r="I58">
        <v>134.16</v>
      </c>
      <c r="U58">
        <v>1E-3</v>
      </c>
      <c r="AZ58">
        <v>1E-3</v>
      </c>
      <c r="BA58">
        <f t="shared" si="0"/>
        <v>2E-3</v>
      </c>
    </row>
    <row r="59" spans="1:53" x14ac:dyDescent="0.2">
      <c r="A59" t="s">
        <v>63</v>
      </c>
      <c r="B59">
        <v>2025</v>
      </c>
      <c r="C59" t="s">
        <v>0</v>
      </c>
      <c r="D59">
        <v>307</v>
      </c>
      <c r="E59" t="s">
        <v>98</v>
      </c>
      <c r="F59">
        <v>4</v>
      </c>
      <c r="G59" t="s">
        <v>100</v>
      </c>
      <c r="H59" s="1">
        <v>45831</v>
      </c>
      <c r="I59">
        <v>119.4</v>
      </c>
      <c r="S59">
        <v>0.76</v>
      </c>
      <c r="AM59">
        <v>1E-3</v>
      </c>
      <c r="BA59">
        <f t="shared" si="0"/>
        <v>0.76100000000000001</v>
      </c>
    </row>
    <row r="60" spans="1:53" x14ac:dyDescent="0.2">
      <c r="A60" t="s">
        <v>64</v>
      </c>
      <c r="B60">
        <v>2025</v>
      </c>
      <c r="C60" t="s">
        <v>0</v>
      </c>
      <c r="D60">
        <v>308</v>
      </c>
      <c r="E60" t="s">
        <v>98</v>
      </c>
      <c r="F60">
        <v>2</v>
      </c>
      <c r="G60" t="s">
        <v>99</v>
      </c>
      <c r="H60" s="1">
        <v>45831</v>
      </c>
      <c r="I60">
        <v>56.42</v>
      </c>
      <c r="U60">
        <v>1E-3</v>
      </c>
      <c r="AV60">
        <v>1E-3</v>
      </c>
      <c r="AY60">
        <v>1E-3</v>
      </c>
      <c r="BA60">
        <f t="shared" si="0"/>
        <v>3.0000000000000001E-3</v>
      </c>
    </row>
    <row r="61" spans="1:53" x14ac:dyDescent="0.2">
      <c r="A61" t="s">
        <v>65</v>
      </c>
      <c r="B61">
        <v>2025</v>
      </c>
      <c r="C61" t="s">
        <v>0</v>
      </c>
      <c r="D61">
        <v>308</v>
      </c>
      <c r="E61" t="s">
        <v>98</v>
      </c>
      <c r="F61">
        <v>2</v>
      </c>
      <c r="G61" t="s">
        <v>100</v>
      </c>
      <c r="H61" s="1">
        <v>45831</v>
      </c>
      <c r="I61">
        <v>99.7</v>
      </c>
      <c r="R61">
        <v>1E-3</v>
      </c>
      <c r="AE61">
        <v>1E-3</v>
      </c>
      <c r="BA61">
        <f t="shared" si="0"/>
        <v>2E-3</v>
      </c>
    </row>
    <row r="62" spans="1:53" x14ac:dyDescent="0.2">
      <c r="A62" t="s">
        <v>66</v>
      </c>
      <c r="B62">
        <v>2025</v>
      </c>
      <c r="C62" t="s">
        <v>0</v>
      </c>
      <c r="D62">
        <v>309</v>
      </c>
      <c r="E62" t="s">
        <v>98</v>
      </c>
      <c r="F62">
        <v>3</v>
      </c>
      <c r="G62" t="s">
        <v>99</v>
      </c>
      <c r="H62" s="1">
        <v>45831</v>
      </c>
      <c r="I62">
        <v>186.2</v>
      </c>
      <c r="AM62">
        <v>1E-3</v>
      </c>
      <c r="BA62">
        <f t="shared" si="0"/>
        <v>1E-3</v>
      </c>
    </row>
    <row r="63" spans="1:53" x14ac:dyDescent="0.2">
      <c r="A63" t="s">
        <v>67</v>
      </c>
      <c r="B63">
        <v>2025</v>
      </c>
      <c r="C63" t="s">
        <v>0</v>
      </c>
      <c r="D63">
        <v>309</v>
      </c>
      <c r="E63" t="s">
        <v>98</v>
      </c>
      <c r="F63">
        <v>3</v>
      </c>
      <c r="G63" t="s">
        <v>100</v>
      </c>
      <c r="H63" s="1">
        <v>45831</v>
      </c>
      <c r="I63">
        <v>132.93</v>
      </c>
      <c r="AM63">
        <v>1E-3</v>
      </c>
      <c r="BA63">
        <f t="shared" si="0"/>
        <v>1E-3</v>
      </c>
    </row>
    <row r="64" spans="1:53" x14ac:dyDescent="0.2">
      <c r="A64" t="s">
        <v>68</v>
      </c>
      <c r="B64">
        <v>2025</v>
      </c>
      <c r="C64" t="s">
        <v>0</v>
      </c>
      <c r="D64">
        <v>310</v>
      </c>
      <c r="E64" t="s">
        <v>98</v>
      </c>
      <c r="F64">
        <v>1</v>
      </c>
      <c r="G64" t="s">
        <v>99</v>
      </c>
      <c r="H64" s="1">
        <v>45831</v>
      </c>
      <c r="I64">
        <v>89.26</v>
      </c>
      <c r="U64">
        <v>1E-3</v>
      </c>
      <c r="AE64">
        <v>1E-3</v>
      </c>
      <c r="AY64">
        <v>1E-3</v>
      </c>
      <c r="BA64">
        <f t="shared" si="0"/>
        <v>3.0000000000000001E-3</v>
      </c>
    </row>
    <row r="65" spans="1:53" x14ac:dyDescent="0.2">
      <c r="A65" t="s">
        <v>69</v>
      </c>
      <c r="B65">
        <v>2025</v>
      </c>
      <c r="C65" t="s">
        <v>0</v>
      </c>
      <c r="D65">
        <v>310</v>
      </c>
      <c r="E65" t="s">
        <v>98</v>
      </c>
      <c r="F65">
        <v>1</v>
      </c>
      <c r="G65" t="s">
        <v>100</v>
      </c>
      <c r="H65" s="1">
        <v>45831</v>
      </c>
      <c r="I65">
        <v>89.55</v>
      </c>
      <c r="AJ65">
        <v>1E-3</v>
      </c>
      <c r="AM65">
        <v>1E-3</v>
      </c>
      <c r="AV65">
        <v>1E-3</v>
      </c>
      <c r="BA65">
        <f t="shared" si="0"/>
        <v>3.0000000000000001E-3</v>
      </c>
    </row>
    <row r="66" spans="1:53" x14ac:dyDescent="0.2">
      <c r="A66" t="s">
        <v>70</v>
      </c>
      <c r="B66">
        <v>2025</v>
      </c>
      <c r="C66" t="s">
        <v>0</v>
      </c>
      <c r="D66">
        <v>311</v>
      </c>
      <c r="E66" t="s">
        <v>96</v>
      </c>
      <c r="F66">
        <v>0</v>
      </c>
      <c r="G66" t="s">
        <v>99</v>
      </c>
      <c r="H66" s="1">
        <v>45831</v>
      </c>
      <c r="I66">
        <v>43.96</v>
      </c>
      <c r="K66">
        <v>1E-3</v>
      </c>
      <c r="S66">
        <v>0.21</v>
      </c>
      <c r="AE66">
        <v>3.66</v>
      </c>
      <c r="AQ66">
        <v>4.58</v>
      </c>
      <c r="AW66">
        <v>1.55</v>
      </c>
      <c r="AY66">
        <v>1E-3</v>
      </c>
      <c r="AZ66">
        <v>1E-3</v>
      </c>
      <c r="BA66">
        <f t="shared" si="0"/>
        <v>10.003</v>
      </c>
    </row>
    <row r="67" spans="1:53" x14ac:dyDescent="0.2">
      <c r="A67" t="s">
        <v>71</v>
      </c>
      <c r="B67">
        <v>2025</v>
      </c>
      <c r="C67" t="s">
        <v>0</v>
      </c>
      <c r="D67">
        <v>311</v>
      </c>
      <c r="E67" t="s">
        <v>96</v>
      </c>
      <c r="F67">
        <v>0</v>
      </c>
      <c r="G67" t="s">
        <v>100</v>
      </c>
      <c r="H67" s="1">
        <v>45831</v>
      </c>
      <c r="I67">
        <v>77.72</v>
      </c>
      <c r="V67">
        <v>1.22</v>
      </c>
      <c r="AY67">
        <v>1E-3</v>
      </c>
      <c r="AZ67">
        <v>1E-3</v>
      </c>
      <c r="BA67">
        <f t="shared" ref="BA67:BA89" si="1">SUM(J67:AZ67)</f>
        <v>1.2219999999999998</v>
      </c>
    </row>
    <row r="68" spans="1:53" x14ac:dyDescent="0.2">
      <c r="A68" t="s">
        <v>72</v>
      </c>
      <c r="B68">
        <v>2025</v>
      </c>
      <c r="C68" t="s">
        <v>0</v>
      </c>
      <c r="D68">
        <v>401</v>
      </c>
      <c r="E68" t="s">
        <v>96</v>
      </c>
      <c r="F68">
        <v>0</v>
      </c>
      <c r="G68" t="s">
        <v>99</v>
      </c>
      <c r="H68" s="1">
        <v>45831</v>
      </c>
      <c r="I68">
        <v>51.04</v>
      </c>
      <c r="N68">
        <v>0.08</v>
      </c>
      <c r="S68">
        <v>1.37</v>
      </c>
      <c r="AF68">
        <v>2.06</v>
      </c>
      <c r="AL68">
        <v>1</v>
      </c>
      <c r="AX68">
        <v>0.45</v>
      </c>
      <c r="AZ68">
        <v>0.34</v>
      </c>
      <c r="BA68">
        <f t="shared" si="1"/>
        <v>5.3</v>
      </c>
    </row>
    <row r="69" spans="1:53" x14ac:dyDescent="0.2">
      <c r="A69" t="s">
        <v>73</v>
      </c>
      <c r="B69">
        <v>2025</v>
      </c>
      <c r="C69" t="s">
        <v>0</v>
      </c>
      <c r="D69">
        <v>401</v>
      </c>
      <c r="E69" t="s">
        <v>96</v>
      </c>
      <c r="F69">
        <v>0</v>
      </c>
      <c r="G69" t="s">
        <v>100</v>
      </c>
      <c r="H69" s="1">
        <v>45831</v>
      </c>
      <c r="I69">
        <v>34.35</v>
      </c>
      <c r="K69">
        <v>1E-3</v>
      </c>
      <c r="N69">
        <v>1.3</v>
      </c>
      <c r="S69">
        <v>1.57</v>
      </c>
      <c r="AL69">
        <v>1E-3</v>
      </c>
      <c r="AX69">
        <v>1E-3</v>
      </c>
      <c r="AZ69">
        <v>0.34</v>
      </c>
      <c r="BA69">
        <f t="shared" si="1"/>
        <v>3.2129999999999996</v>
      </c>
    </row>
    <row r="70" spans="1:53" x14ac:dyDescent="0.2">
      <c r="A70" t="s">
        <v>74</v>
      </c>
      <c r="B70">
        <v>2025</v>
      </c>
      <c r="C70" t="s">
        <v>0</v>
      </c>
      <c r="D70">
        <v>402</v>
      </c>
      <c r="E70" t="s">
        <v>98</v>
      </c>
      <c r="F70">
        <v>2</v>
      </c>
      <c r="G70" t="s">
        <v>99</v>
      </c>
      <c r="H70" s="1">
        <v>45831</v>
      </c>
      <c r="I70">
        <v>135.19999999999999</v>
      </c>
      <c r="S70">
        <v>1.33</v>
      </c>
      <c r="AM70">
        <v>1E-3</v>
      </c>
      <c r="AX70">
        <v>1E-3</v>
      </c>
      <c r="BA70">
        <f t="shared" si="1"/>
        <v>1.3319999999999999</v>
      </c>
    </row>
    <row r="71" spans="1:53" x14ac:dyDescent="0.2">
      <c r="A71" t="s">
        <v>75</v>
      </c>
      <c r="B71">
        <v>2025</v>
      </c>
      <c r="C71" t="s">
        <v>0</v>
      </c>
      <c r="D71">
        <v>402</v>
      </c>
      <c r="E71" t="s">
        <v>98</v>
      </c>
      <c r="F71">
        <v>2</v>
      </c>
      <c r="G71" t="s">
        <v>100</v>
      </c>
      <c r="H71" s="1">
        <v>45831</v>
      </c>
      <c r="I71">
        <v>87.14</v>
      </c>
      <c r="AM71">
        <v>1E-3</v>
      </c>
      <c r="AZ71">
        <v>1E-3</v>
      </c>
      <c r="BA71">
        <f t="shared" si="1"/>
        <v>2E-3</v>
      </c>
    </row>
    <row r="72" spans="1:53" x14ac:dyDescent="0.2">
      <c r="A72" t="s">
        <v>76</v>
      </c>
      <c r="B72">
        <v>2025</v>
      </c>
      <c r="C72" t="s">
        <v>0</v>
      </c>
      <c r="D72">
        <v>403</v>
      </c>
      <c r="E72" t="s">
        <v>98</v>
      </c>
      <c r="F72">
        <v>1</v>
      </c>
      <c r="G72" t="s">
        <v>99</v>
      </c>
      <c r="H72" s="1">
        <v>45831</v>
      </c>
      <c r="I72">
        <v>99.25</v>
      </c>
      <c r="U72">
        <v>1E-3</v>
      </c>
      <c r="AX72">
        <v>1E-3</v>
      </c>
      <c r="BA72">
        <f t="shared" si="1"/>
        <v>2E-3</v>
      </c>
    </row>
    <row r="73" spans="1:53" x14ac:dyDescent="0.2">
      <c r="A73" t="s">
        <v>77</v>
      </c>
      <c r="B73">
        <v>2025</v>
      </c>
      <c r="C73" t="s">
        <v>0</v>
      </c>
      <c r="D73">
        <v>403</v>
      </c>
      <c r="E73" t="s">
        <v>98</v>
      </c>
      <c r="F73">
        <v>1</v>
      </c>
      <c r="G73" t="s">
        <v>100</v>
      </c>
      <c r="H73" s="1">
        <v>45831</v>
      </c>
      <c r="I73">
        <v>110.79</v>
      </c>
      <c r="AU73">
        <v>1E-3</v>
      </c>
      <c r="BA73">
        <f t="shared" si="1"/>
        <v>1E-3</v>
      </c>
    </row>
    <row r="74" spans="1:53" x14ac:dyDescent="0.2">
      <c r="A74" t="s">
        <v>78</v>
      </c>
      <c r="B74">
        <v>2025</v>
      </c>
      <c r="C74" t="s">
        <v>0</v>
      </c>
      <c r="D74">
        <v>404</v>
      </c>
      <c r="E74" t="s">
        <v>98</v>
      </c>
      <c r="F74">
        <v>4</v>
      </c>
      <c r="G74" t="s">
        <v>99</v>
      </c>
      <c r="H74" s="1">
        <v>45831</v>
      </c>
      <c r="I74">
        <v>120.74</v>
      </c>
      <c r="AA74">
        <v>1E-3</v>
      </c>
      <c r="AM74">
        <v>1E-3</v>
      </c>
      <c r="BA74">
        <f t="shared" si="1"/>
        <v>2E-3</v>
      </c>
    </row>
    <row r="75" spans="1:53" x14ac:dyDescent="0.2">
      <c r="A75" t="s">
        <v>79</v>
      </c>
      <c r="B75">
        <v>2025</v>
      </c>
      <c r="C75" t="s">
        <v>0</v>
      </c>
      <c r="D75">
        <v>404</v>
      </c>
      <c r="E75" t="s">
        <v>98</v>
      </c>
      <c r="F75">
        <v>4</v>
      </c>
      <c r="G75" t="s">
        <v>100</v>
      </c>
      <c r="H75" s="1">
        <v>45831</v>
      </c>
      <c r="I75">
        <v>106.3</v>
      </c>
      <c r="M75">
        <v>1E-3</v>
      </c>
      <c r="AJ75">
        <v>1E-3</v>
      </c>
      <c r="AM75">
        <v>1E-3</v>
      </c>
      <c r="AU75">
        <v>1E-3</v>
      </c>
      <c r="BA75">
        <f t="shared" si="1"/>
        <v>4.0000000000000001E-3</v>
      </c>
    </row>
    <row r="76" spans="1:53" x14ac:dyDescent="0.2">
      <c r="A76" t="s">
        <v>80</v>
      </c>
      <c r="B76">
        <v>2025</v>
      </c>
      <c r="C76" t="s">
        <v>0</v>
      </c>
      <c r="D76">
        <v>405</v>
      </c>
      <c r="E76" t="s">
        <v>98</v>
      </c>
      <c r="F76">
        <v>3</v>
      </c>
      <c r="G76" t="s">
        <v>99</v>
      </c>
      <c r="H76" s="1">
        <v>45831</v>
      </c>
      <c r="I76">
        <v>79.790000000000006</v>
      </c>
      <c r="AZ76">
        <v>1E-3</v>
      </c>
      <c r="BA76">
        <f t="shared" si="1"/>
        <v>1E-3</v>
      </c>
    </row>
    <row r="77" spans="1:53" x14ac:dyDescent="0.2">
      <c r="A77" t="s">
        <v>81</v>
      </c>
      <c r="B77">
        <v>2025</v>
      </c>
      <c r="C77" t="s">
        <v>0</v>
      </c>
      <c r="D77">
        <v>405</v>
      </c>
      <c r="E77" t="s">
        <v>98</v>
      </c>
      <c r="F77">
        <v>3</v>
      </c>
      <c r="G77" t="s">
        <v>99</v>
      </c>
      <c r="H77" s="1">
        <v>45831</v>
      </c>
      <c r="I77">
        <v>127.22</v>
      </c>
      <c r="AM77">
        <v>1E-3</v>
      </c>
      <c r="BA77">
        <f t="shared" si="1"/>
        <v>1E-3</v>
      </c>
    </row>
    <row r="78" spans="1:53" x14ac:dyDescent="0.2">
      <c r="A78" t="s">
        <v>82</v>
      </c>
      <c r="B78">
        <v>2025</v>
      </c>
      <c r="C78" t="s">
        <v>0</v>
      </c>
      <c r="D78">
        <v>406</v>
      </c>
      <c r="E78" t="s">
        <v>96</v>
      </c>
      <c r="F78">
        <v>0</v>
      </c>
      <c r="G78" t="s">
        <v>100</v>
      </c>
      <c r="H78" s="1">
        <v>45831</v>
      </c>
      <c r="I78">
        <v>57.67</v>
      </c>
      <c r="S78">
        <v>1.34</v>
      </c>
      <c r="AL78">
        <v>1E-3</v>
      </c>
      <c r="AZ78">
        <v>1E-3</v>
      </c>
      <c r="BA78">
        <f t="shared" si="1"/>
        <v>1.3419999999999999</v>
      </c>
    </row>
    <row r="79" spans="1:53" x14ac:dyDescent="0.2">
      <c r="A79" t="s">
        <v>83</v>
      </c>
      <c r="B79">
        <v>2025</v>
      </c>
      <c r="C79" t="s">
        <v>0</v>
      </c>
      <c r="D79">
        <v>406</v>
      </c>
      <c r="E79" t="s">
        <v>96</v>
      </c>
      <c r="F79">
        <v>0</v>
      </c>
      <c r="G79" t="s">
        <v>99</v>
      </c>
      <c r="H79" s="1">
        <v>45831</v>
      </c>
      <c r="I79">
        <v>42.57</v>
      </c>
      <c r="O79">
        <v>11.85</v>
      </c>
      <c r="AL79">
        <v>1.1599999999999999</v>
      </c>
      <c r="AN79">
        <v>3.39</v>
      </c>
      <c r="AO79">
        <v>1E-3</v>
      </c>
      <c r="AZ79">
        <v>1E-3</v>
      </c>
      <c r="BA79">
        <f t="shared" si="1"/>
        <v>16.402000000000001</v>
      </c>
    </row>
    <row r="80" spans="1:53" x14ac:dyDescent="0.2">
      <c r="A80" t="s">
        <v>84</v>
      </c>
      <c r="B80">
        <v>2025</v>
      </c>
      <c r="C80" t="s">
        <v>0</v>
      </c>
      <c r="D80">
        <v>407</v>
      </c>
      <c r="E80" t="s">
        <v>97</v>
      </c>
      <c r="F80">
        <v>2</v>
      </c>
      <c r="G80" t="s">
        <v>100</v>
      </c>
      <c r="H80" s="1">
        <v>45831</v>
      </c>
      <c r="I80">
        <v>126.9</v>
      </c>
      <c r="U80">
        <v>1E-3</v>
      </c>
      <c r="BA80">
        <f t="shared" si="1"/>
        <v>1E-3</v>
      </c>
    </row>
    <row r="81" spans="1:53" x14ac:dyDescent="0.2">
      <c r="A81" t="s">
        <v>85</v>
      </c>
      <c r="B81">
        <v>2025</v>
      </c>
      <c r="C81" t="s">
        <v>0</v>
      </c>
      <c r="D81">
        <v>407</v>
      </c>
      <c r="E81" t="s">
        <v>97</v>
      </c>
      <c r="F81">
        <v>2</v>
      </c>
      <c r="G81" t="s">
        <v>99</v>
      </c>
      <c r="H81" s="1">
        <v>45831</v>
      </c>
      <c r="I81">
        <v>109.5</v>
      </c>
      <c r="BA81">
        <f t="shared" si="1"/>
        <v>0</v>
      </c>
    </row>
    <row r="82" spans="1:53" x14ac:dyDescent="0.2">
      <c r="A82" t="s">
        <v>86</v>
      </c>
      <c r="B82">
        <v>2025</v>
      </c>
      <c r="C82" t="s">
        <v>0</v>
      </c>
      <c r="D82">
        <v>408</v>
      </c>
      <c r="E82" t="s">
        <v>97</v>
      </c>
      <c r="F82">
        <v>1</v>
      </c>
      <c r="G82" t="s">
        <v>100</v>
      </c>
      <c r="H82" s="1">
        <v>45831</v>
      </c>
      <c r="I82">
        <v>98.35</v>
      </c>
      <c r="BA82">
        <f t="shared" si="1"/>
        <v>0</v>
      </c>
    </row>
    <row r="83" spans="1:53" x14ac:dyDescent="0.2">
      <c r="A83" t="s">
        <v>87</v>
      </c>
      <c r="B83">
        <v>2025</v>
      </c>
      <c r="C83" t="s">
        <v>0</v>
      </c>
      <c r="D83">
        <v>408</v>
      </c>
      <c r="E83" t="s">
        <v>97</v>
      </c>
      <c r="F83">
        <v>1</v>
      </c>
      <c r="G83" t="s">
        <v>99</v>
      </c>
      <c r="H83" s="1">
        <v>45831</v>
      </c>
      <c r="I83">
        <v>90.53</v>
      </c>
      <c r="BA83">
        <f t="shared" si="1"/>
        <v>0</v>
      </c>
    </row>
    <row r="84" spans="1:53" x14ac:dyDescent="0.2">
      <c r="A84" t="s">
        <v>88</v>
      </c>
      <c r="B84">
        <v>2025</v>
      </c>
      <c r="C84" t="s">
        <v>0</v>
      </c>
      <c r="D84">
        <v>409</v>
      </c>
      <c r="E84" t="s">
        <v>97</v>
      </c>
      <c r="F84">
        <v>4</v>
      </c>
      <c r="G84" t="s">
        <v>100</v>
      </c>
      <c r="H84" s="1">
        <v>45831</v>
      </c>
      <c r="I84">
        <v>76.48</v>
      </c>
      <c r="W84">
        <v>1E-3</v>
      </c>
      <c r="AM84">
        <v>1E-3</v>
      </c>
      <c r="BA84">
        <f t="shared" si="1"/>
        <v>2E-3</v>
      </c>
    </row>
    <row r="85" spans="1:53" x14ac:dyDescent="0.2">
      <c r="A85" t="s">
        <v>89</v>
      </c>
      <c r="B85">
        <v>2025</v>
      </c>
      <c r="C85" t="s">
        <v>0</v>
      </c>
      <c r="D85">
        <v>409</v>
      </c>
      <c r="E85" t="s">
        <v>97</v>
      </c>
      <c r="F85">
        <v>4</v>
      </c>
      <c r="G85" t="s">
        <v>99</v>
      </c>
      <c r="H85" s="1">
        <v>45831</v>
      </c>
      <c r="I85">
        <v>80.37</v>
      </c>
      <c r="J85">
        <v>1E-3</v>
      </c>
      <c r="AJ85">
        <v>1E-3</v>
      </c>
      <c r="BA85">
        <f t="shared" si="1"/>
        <v>2E-3</v>
      </c>
    </row>
    <row r="86" spans="1:53" x14ac:dyDescent="0.2">
      <c r="A86" t="s">
        <v>90</v>
      </c>
      <c r="B86">
        <v>2025</v>
      </c>
      <c r="C86" t="s">
        <v>0</v>
      </c>
      <c r="D86">
        <v>410</v>
      </c>
      <c r="E86" t="s">
        <v>97</v>
      </c>
      <c r="F86">
        <v>3</v>
      </c>
      <c r="G86" t="s">
        <v>99</v>
      </c>
      <c r="H86" s="1">
        <v>45831</v>
      </c>
      <c r="I86">
        <v>121.39</v>
      </c>
      <c r="AB86">
        <v>1.23</v>
      </c>
      <c r="BA86">
        <f t="shared" si="1"/>
        <v>1.23</v>
      </c>
    </row>
    <row r="87" spans="1:53" x14ac:dyDescent="0.2">
      <c r="A87" t="s">
        <v>91</v>
      </c>
      <c r="B87">
        <v>2025</v>
      </c>
      <c r="C87" t="s">
        <v>0</v>
      </c>
      <c r="D87">
        <v>410</v>
      </c>
      <c r="E87" t="s">
        <v>97</v>
      </c>
      <c r="F87">
        <v>3</v>
      </c>
      <c r="G87" t="s">
        <v>100</v>
      </c>
      <c r="H87" s="1">
        <v>45831</v>
      </c>
      <c r="I87">
        <v>109.2</v>
      </c>
      <c r="V87">
        <v>1E-3</v>
      </c>
      <c r="AY87">
        <v>1E-3</v>
      </c>
      <c r="AZ87">
        <v>1E-3</v>
      </c>
      <c r="BA87">
        <f t="shared" si="1"/>
        <v>3.0000000000000001E-3</v>
      </c>
    </row>
    <row r="88" spans="1:53" x14ac:dyDescent="0.2">
      <c r="A88" t="s">
        <v>92</v>
      </c>
      <c r="B88">
        <v>2025</v>
      </c>
      <c r="C88" t="s">
        <v>0</v>
      </c>
      <c r="D88">
        <v>411</v>
      </c>
      <c r="E88" t="s">
        <v>96</v>
      </c>
      <c r="F88">
        <v>0</v>
      </c>
      <c r="G88" t="s">
        <v>99</v>
      </c>
      <c r="H88" s="1">
        <v>45831</v>
      </c>
      <c r="I88">
        <v>67.67</v>
      </c>
      <c r="P88">
        <v>15.28</v>
      </c>
      <c r="AG88">
        <v>0.17</v>
      </c>
      <c r="AS88">
        <v>6.58</v>
      </c>
      <c r="AZ88">
        <v>0.86</v>
      </c>
      <c r="BA88">
        <f t="shared" si="1"/>
        <v>22.89</v>
      </c>
    </row>
    <row r="89" spans="1:53" x14ac:dyDescent="0.2">
      <c r="A89" t="s">
        <v>93</v>
      </c>
      <c r="B89">
        <v>2025</v>
      </c>
      <c r="C89" t="s">
        <v>0</v>
      </c>
      <c r="D89">
        <v>411</v>
      </c>
      <c r="E89" t="s">
        <v>96</v>
      </c>
      <c r="F89">
        <v>0</v>
      </c>
      <c r="G89" t="s">
        <v>100</v>
      </c>
      <c r="H89" s="1">
        <v>45831</v>
      </c>
      <c r="I89">
        <v>91.95</v>
      </c>
      <c r="T89">
        <v>1E-3</v>
      </c>
      <c r="AE89">
        <v>1E-3</v>
      </c>
      <c r="AZ89">
        <v>0.3</v>
      </c>
      <c r="BA89">
        <f t="shared" si="1"/>
        <v>0.30199999999999999</v>
      </c>
    </row>
  </sheetData>
  <sortState xmlns:xlrd2="http://schemas.microsoft.com/office/spreadsheetml/2017/richdata2" ref="A2:AZ89">
    <sortCondition ref="A2:A89"/>
  </sortState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rye_weed_biomass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Youngerman</dc:creator>
  <cp:lastModifiedBy>Eric Youngerman</cp:lastModifiedBy>
  <dcterms:created xsi:type="dcterms:W3CDTF">2025-07-31T15:46:54Z</dcterms:created>
  <dcterms:modified xsi:type="dcterms:W3CDTF">2025-11-30T16:19:57Z</dcterms:modified>
</cp:coreProperties>
</file>